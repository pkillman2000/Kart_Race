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\Kart_Race\Assets\Documents\"/>
    </mc:Choice>
  </mc:AlternateContent>
  <xr:revisionPtr revIDLastSave="0" documentId="13_ncr:1_{A091080A-FDAB-4F0C-BF47-6D70D0A43D45}" xr6:coauthVersionLast="47" xr6:coauthVersionMax="47" xr10:uidLastSave="{00000000-0000-0000-0000-000000000000}"/>
  <bookViews>
    <workbookView xWindow="-120" yWindow="-120" windowWidth="29040" windowHeight="15720" xr2:uid="{B419FCAA-FA0B-4D75-9158-B02D80B33CEA}"/>
  </bookViews>
  <sheets>
    <sheet name="Transmis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13" i="1"/>
  <c r="J12" i="1"/>
  <c r="J11" i="1"/>
  <c r="J10" i="1"/>
  <c r="N10" i="1" s="1"/>
  <c r="C4" i="1"/>
  <c r="C3" i="1"/>
  <c r="C2" i="1"/>
  <c r="E2" i="1" s="1"/>
  <c r="N14" i="1"/>
  <c r="I14" i="1"/>
  <c r="M13" i="1"/>
  <c r="L14" i="1" s="1"/>
  <c r="I13" i="1"/>
  <c r="O12" i="1"/>
  <c r="I12" i="1"/>
  <c r="O11" i="1"/>
  <c r="I11" i="1"/>
  <c r="I10" i="1"/>
  <c r="B2" i="1"/>
  <c r="A3" i="1"/>
  <c r="A4" i="1" s="1"/>
  <c r="E4" i="1" l="1"/>
  <c r="D4" i="1"/>
  <c r="D2" i="1"/>
  <c r="D3" i="1"/>
  <c r="O10" i="1"/>
  <c r="M11" i="1"/>
  <c r="L12" i="1" s="1"/>
  <c r="M12" i="1"/>
  <c r="L13" i="1" s="1"/>
  <c r="N11" i="1"/>
  <c r="M10" i="1"/>
  <c r="L11" i="1" s="1"/>
  <c r="N13" i="1"/>
  <c r="O13" i="1"/>
  <c r="O14" i="1"/>
  <c r="N12" i="1"/>
  <c r="E3" i="1"/>
  <c r="A5" i="1"/>
  <c r="C5" i="1" s="1"/>
  <c r="B4" i="1"/>
  <c r="B3" i="1"/>
  <c r="E5" i="1" l="1"/>
  <c r="D5" i="1"/>
  <c r="A6" i="1"/>
  <c r="C6" i="1" s="1"/>
  <c r="B5" i="1"/>
  <c r="E6" i="1" l="1"/>
  <c r="D6" i="1"/>
  <c r="A7" i="1"/>
  <c r="C7" i="1" s="1"/>
  <c r="B6" i="1"/>
  <c r="E7" i="1" l="1"/>
  <c r="D7" i="1"/>
  <c r="A8" i="1"/>
  <c r="C8" i="1" s="1"/>
  <c r="B7" i="1"/>
  <c r="E8" i="1" l="1"/>
  <c r="D8" i="1"/>
  <c r="A9" i="1"/>
  <c r="C9" i="1" s="1"/>
  <c r="B8" i="1"/>
  <c r="E9" i="1" l="1"/>
  <c r="D9" i="1"/>
  <c r="A10" i="1"/>
  <c r="C10" i="1" s="1"/>
  <c r="B9" i="1"/>
  <c r="A11" i="1" l="1"/>
  <c r="C11" i="1" s="1"/>
  <c r="B10" i="1"/>
  <c r="D11" i="1" l="1"/>
  <c r="E11" i="1"/>
  <c r="D10" i="1"/>
  <c r="E10" i="1"/>
  <c r="A12" i="1"/>
  <c r="C12" i="1" s="1"/>
  <c r="B11" i="1"/>
  <c r="D12" i="1" l="1"/>
  <c r="E12" i="1"/>
  <c r="A13" i="1"/>
  <c r="C13" i="1" s="1"/>
  <c r="B12" i="1"/>
  <c r="D13" i="1" l="1"/>
  <c r="E13" i="1"/>
  <c r="A14" i="1"/>
  <c r="C14" i="1" s="1"/>
  <c r="B13" i="1"/>
  <c r="D14" i="1" l="1"/>
  <c r="E14" i="1"/>
  <c r="A15" i="1"/>
  <c r="C15" i="1" s="1"/>
  <c r="B14" i="1"/>
  <c r="D15" i="1" l="1"/>
  <c r="E15" i="1"/>
  <c r="A16" i="1"/>
  <c r="C16" i="1" s="1"/>
  <c r="B15" i="1"/>
  <c r="D16" i="1" l="1"/>
  <c r="E16" i="1"/>
  <c r="A17" i="1"/>
  <c r="C17" i="1" s="1"/>
  <c r="B16" i="1"/>
  <c r="D17" i="1" l="1"/>
  <c r="E17" i="1"/>
  <c r="A18" i="1"/>
  <c r="C18" i="1" s="1"/>
  <c r="B17" i="1"/>
  <c r="D18" i="1" l="1"/>
  <c r="E18" i="1"/>
  <c r="A19" i="1"/>
  <c r="C19" i="1" s="1"/>
  <c r="B18" i="1"/>
  <c r="D19" i="1" l="1"/>
  <c r="E19" i="1"/>
  <c r="A20" i="1"/>
  <c r="C20" i="1" s="1"/>
  <c r="B19" i="1"/>
  <c r="D20" i="1" l="1"/>
  <c r="E20" i="1"/>
  <c r="A21" i="1"/>
  <c r="C21" i="1" s="1"/>
  <c r="B20" i="1"/>
  <c r="E21" i="1" l="1"/>
  <c r="D21" i="1"/>
  <c r="A22" i="1"/>
  <c r="C22" i="1" s="1"/>
  <c r="B21" i="1"/>
  <c r="E22" i="1" l="1"/>
  <c r="D22" i="1"/>
  <c r="A23" i="1"/>
  <c r="C23" i="1" s="1"/>
  <c r="B22" i="1"/>
  <c r="E23" i="1" l="1"/>
  <c r="D23" i="1"/>
  <c r="A24" i="1"/>
  <c r="C24" i="1" s="1"/>
  <c r="B23" i="1"/>
  <c r="E24" i="1" l="1"/>
  <c r="D24" i="1"/>
  <c r="A25" i="1"/>
  <c r="C25" i="1" s="1"/>
  <c r="B24" i="1"/>
  <c r="E25" i="1" l="1"/>
  <c r="D25" i="1"/>
  <c r="A26" i="1"/>
  <c r="C26" i="1" s="1"/>
  <c r="B25" i="1"/>
  <c r="E26" i="1" l="1"/>
  <c r="D26" i="1"/>
  <c r="A27" i="1"/>
  <c r="C27" i="1" s="1"/>
  <c r="B26" i="1"/>
  <c r="D27" i="1" l="1"/>
  <c r="E27" i="1"/>
  <c r="A28" i="1"/>
  <c r="C28" i="1" s="1"/>
  <c r="B27" i="1"/>
  <c r="D28" i="1" l="1"/>
  <c r="E28" i="1"/>
  <c r="A29" i="1"/>
  <c r="C29" i="1" s="1"/>
  <c r="B28" i="1"/>
  <c r="D29" i="1" l="1"/>
  <c r="E29" i="1"/>
  <c r="A30" i="1"/>
  <c r="C30" i="1" s="1"/>
  <c r="B29" i="1"/>
  <c r="E30" i="1" l="1"/>
  <c r="D30" i="1"/>
  <c r="A31" i="1"/>
  <c r="C31" i="1" s="1"/>
  <c r="B30" i="1"/>
  <c r="D31" i="1" l="1"/>
  <c r="E31" i="1"/>
  <c r="A32" i="1"/>
  <c r="C32" i="1" s="1"/>
  <c r="B31" i="1"/>
  <c r="D32" i="1" l="1"/>
  <c r="E32" i="1"/>
  <c r="A33" i="1"/>
  <c r="C33" i="1" s="1"/>
  <c r="B32" i="1"/>
  <c r="D33" i="1" l="1"/>
  <c r="E33" i="1"/>
  <c r="B33" i="1"/>
  <c r="A34" i="1"/>
  <c r="C34" i="1" s="1"/>
  <c r="D34" i="1" l="1"/>
  <c r="E34" i="1"/>
  <c r="A35" i="1"/>
  <c r="C35" i="1" s="1"/>
  <c r="B34" i="1"/>
  <c r="D35" i="1" l="1"/>
  <c r="E35" i="1"/>
  <c r="A36" i="1"/>
  <c r="C36" i="1" s="1"/>
  <c r="B35" i="1"/>
  <c r="D36" i="1" l="1"/>
  <c r="E36" i="1"/>
  <c r="A37" i="1"/>
  <c r="C37" i="1" s="1"/>
  <c r="B36" i="1"/>
  <c r="E37" i="1" l="1"/>
  <c r="D37" i="1"/>
  <c r="A38" i="1"/>
  <c r="C38" i="1" s="1"/>
  <c r="B37" i="1"/>
  <c r="E38" i="1" l="1"/>
  <c r="D38" i="1"/>
  <c r="A39" i="1"/>
  <c r="C39" i="1" s="1"/>
  <c r="B38" i="1"/>
  <c r="E39" i="1" l="1"/>
  <c r="D39" i="1"/>
  <c r="A40" i="1"/>
  <c r="C40" i="1" s="1"/>
  <c r="B39" i="1"/>
  <c r="E40" i="1" l="1"/>
  <c r="D40" i="1"/>
  <c r="A41" i="1"/>
  <c r="C41" i="1" s="1"/>
  <c r="B40" i="1"/>
  <c r="E41" i="1" l="1"/>
  <c r="D41" i="1"/>
  <c r="B41" i="1"/>
</calcChain>
</file>

<file path=xl/sharedStrings.xml><?xml version="1.0" encoding="utf-8"?>
<sst xmlns="http://schemas.openxmlformats.org/spreadsheetml/2006/main" count="35" uniqueCount="24">
  <si>
    <t>m/s</t>
  </si>
  <si>
    <t>k/h</t>
  </si>
  <si>
    <t>mi/h</t>
  </si>
  <si>
    <t>Redline</t>
  </si>
  <si>
    <t>Shift (m/s)</t>
  </si>
  <si>
    <t>Redline (m/s)</t>
  </si>
  <si>
    <t>Name</t>
  </si>
  <si>
    <t>1st</t>
  </si>
  <si>
    <t>2nd</t>
  </si>
  <si>
    <t>3rd</t>
  </si>
  <si>
    <t>4th</t>
  </si>
  <si>
    <t>5th</t>
  </si>
  <si>
    <t>Accel/Speed</t>
  </si>
  <si>
    <t>&lt;0</t>
  </si>
  <si>
    <t>&gt;0</t>
  </si>
  <si>
    <t>Calculate</t>
  </si>
  <si>
    <t xml:space="preserve">Torque </t>
  </si>
  <si>
    <t>Shift Down</t>
  </si>
  <si>
    <t>Shift Up</t>
  </si>
  <si>
    <t>Top</t>
  </si>
  <si>
    <t>Speed/Accel</t>
  </si>
  <si>
    <t>+</t>
  </si>
  <si>
    <t>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</si>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</sst>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Alignment="1">
      <alignment wrapText="1"/>
    </xf>
    <xf numFmtId="164" fontId="0" fillId="0" borderId="0" xfId="0" applyNumberFormat="1" applyFill="1" applyAlignment="1">
      <alignment wrapText="1"/>
    </xf>
    <xf numFmtId="49" fontId="0" fillId="0" borderId="0" xfId="0" applyNumberFormat="1" applyFill="1" applyAlignment="1">
      <alignment horizontal="center"/>
    </xf>
    <xf numFmtId="164" fontId="0" fillId="0" borderId="0" xfId="0" applyNumberFormat="1" applyFill="1"/>
    <xf numFmtId="0" fontId="0" fillId="0" borderId="0" xfId="0" applyFill="1"/>
    <xf numFmtId="49" fontId="0" fillId="0" borderId="0" xfId="0" applyNumberFormat="1" applyFill="1"/>
    <xf numFmtId="49" fontId="0" fillId="0" borderId="1" xfId="0" applyNumberFormat="1" applyFill="1" applyBorder="1" applyAlignment="1">
      <alignment wrapText="1"/>
    </xf>
    <xf numFmtId="0" fontId="0" fillId="0" borderId="1" xfId="0" applyFill="1" applyBorder="1" applyAlignment="1">
      <alignment wrapText="1"/>
    </xf>
    <xf numFmtId="164" fontId="0" fillId="0" borderId="1" xfId="0" applyNumberFormat="1" applyFill="1" applyBorder="1" applyAlignment="1">
      <alignment wrapText="1"/>
    </xf>
    <xf numFmtId="49" fontId="0" fillId="0" borderId="1" xfId="0" applyNumberFormat="1" applyFill="1" applyBorder="1"/>
    <xf numFmtId="0" fontId="0" fillId="0" borderId="1" xfId="0" applyFill="1" applyBorder="1"/>
    <xf numFmtId="164" fontId="0" fillId="0" borderId="1" xfId="0" applyNumberFormat="1" applyFill="1" applyBorder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AD5A-34EB-4479-9DE0-BBBE9041CFEE}">
  <dimension ref="A1:O41"/>
  <sheetViews>
    <sheetView tabSelected="1" workbookViewId="0">
      <selection activeCell="G9" sqref="G9:O14"/>
    </sheetView>
  </sheetViews>
  <sheetFormatPr defaultRowHeight="15" x14ac:dyDescent="0.25"/>
  <cols>
    <col min="1" max="1" width="9.140625" style="5"/>
    <col min="2" max="3" width="9.140625" style="4"/>
    <col min="4" max="4" width="10.42578125" style="4" customWidth="1"/>
    <col min="5" max="5" width="12.28515625" style="4" customWidth="1"/>
    <col min="6" max="6" width="9.140625" style="5"/>
    <col min="7" max="7" width="12.28515625" style="6" customWidth="1"/>
    <col min="8" max="9" width="9.140625" style="5"/>
    <col min="10" max="10" width="7.5703125" style="5" customWidth="1"/>
    <col min="11" max="16384" width="9.140625" style="5"/>
  </cols>
  <sheetData>
    <row r="1" spans="1:15" s="1" customFormat="1" ht="15" customHeight="1" x14ac:dyDescent="0.25">
      <c r="A1" s="1" t="s">
        <v>2</v>
      </c>
      <c r="B1" s="2" t="s">
        <v>1</v>
      </c>
      <c r="C1" s="2" t="s">
        <v>0</v>
      </c>
      <c r="D1" s="2" t="s">
        <v>4</v>
      </c>
      <c r="E1" s="2" t="s">
        <v>5</v>
      </c>
      <c r="G1" s="3" t="s">
        <v>12</v>
      </c>
      <c r="H1" s="3" t="s">
        <v>13</v>
      </c>
      <c r="I1" s="3">
        <v>0</v>
      </c>
      <c r="J1" s="3" t="s">
        <v>14</v>
      </c>
      <c r="K1" s="4"/>
      <c r="L1" s="4"/>
      <c r="M1" s="5"/>
      <c r="N1" s="5"/>
      <c r="O1" s="5"/>
    </row>
    <row r="2" spans="1:15" ht="15" customHeight="1" x14ac:dyDescent="0.25">
      <c r="A2" s="5">
        <v>5</v>
      </c>
      <c r="B2" s="4">
        <f>A2*1.60934</f>
        <v>8.0466999999999995</v>
      </c>
      <c r="C2" s="4">
        <f>A2*0.44704</f>
        <v>2.2351999999999999</v>
      </c>
      <c r="D2" s="4">
        <f t="shared" ref="D2:D9" si="0">C2*0.72</f>
        <v>1.6093439999999999</v>
      </c>
      <c r="E2" s="4">
        <f t="shared" ref="E2:E9" si="1">C2*0.88</f>
        <v>1.9669759999999998</v>
      </c>
      <c r="G2" s="3" t="s">
        <v>13</v>
      </c>
      <c r="H2" s="5">
        <v>1</v>
      </c>
      <c r="I2" s="5">
        <v>1</v>
      </c>
      <c r="J2" s="5" t="s">
        <v>15</v>
      </c>
      <c r="K2" s="4"/>
      <c r="L2" s="4"/>
    </row>
    <row r="3" spans="1:15" ht="15" customHeight="1" x14ac:dyDescent="0.25">
      <c r="A3" s="5">
        <f>A2+5</f>
        <v>10</v>
      </c>
      <c r="B3" s="4">
        <f t="shared" ref="B3:B41" si="2">A3*1.60934</f>
        <v>16.093399999999999</v>
      </c>
      <c r="C3" s="4">
        <f t="shared" ref="C3:C41" si="3">A3*0.44704</f>
        <v>4.4703999999999997</v>
      </c>
      <c r="D3" s="4">
        <f t="shared" si="0"/>
        <v>3.2186879999999998</v>
      </c>
      <c r="E3" s="4">
        <f t="shared" si="1"/>
        <v>3.9339519999999997</v>
      </c>
      <c r="G3" s="3">
        <v>0</v>
      </c>
      <c r="H3" s="5">
        <v>1</v>
      </c>
      <c r="I3" s="5">
        <v>1</v>
      </c>
      <c r="J3" s="5" t="s">
        <v>15</v>
      </c>
      <c r="K3" s="4"/>
      <c r="L3" s="4"/>
    </row>
    <row r="4" spans="1:15" ht="15" customHeight="1" x14ac:dyDescent="0.25">
      <c r="A4" s="5">
        <f t="shared" ref="A4:A41" si="4">A3+5</f>
        <v>15</v>
      </c>
      <c r="B4" s="4">
        <f t="shared" si="2"/>
        <v>24.1401</v>
      </c>
      <c r="C4" s="4">
        <f t="shared" si="3"/>
        <v>6.7055999999999996</v>
      </c>
      <c r="D4" s="4">
        <f t="shared" si="0"/>
        <v>4.8280319999999994</v>
      </c>
      <c r="E4" s="4">
        <f t="shared" si="1"/>
        <v>5.9009279999999995</v>
      </c>
      <c r="G4" s="3" t="s">
        <v>14</v>
      </c>
      <c r="H4" s="5" t="s">
        <v>15</v>
      </c>
      <c r="I4" s="5" t="s">
        <v>15</v>
      </c>
      <c r="J4" s="5" t="s">
        <v>15</v>
      </c>
      <c r="K4" s="4"/>
      <c r="L4" s="4"/>
    </row>
    <row r="5" spans="1:15" ht="15" customHeight="1" x14ac:dyDescent="0.25">
      <c r="A5" s="5">
        <f t="shared" si="4"/>
        <v>20</v>
      </c>
      <c r="B5" s="4">
        <f t="shared" si="2"/>
        <v>32.186799999999998</v>
      </c>
      <c r="C5" s="4">
        <f t="shared" si="3"/>
        <v>8.9407999999999994</v>
      </c>
      <c r="D5" s="4">
        <f t="shared" si="0"/>
        <v>6.4373759999999995</v>
      </c>
      <c r="E5" s="4">
        <f t="shared" si="1"/>
        <v>7.8679039999999993</v>
      </c>
      <c r="K5" s="4"/>
      <c r="L5" s="4"/>
    </row>
    <row r="6" spans="1:15" ht="15" customHeight="1" x14ac:dyDescent="0.25">
      <c r="A6" s="5">
        <f t="shared" si="4"/>
        <v>25</v>
      </c>
      <c r="B6" s="4">
        <f t="shared" si="2"/>
        <v>40.233499999999999</v>
      </c>
      <c r="C6" s="4">
        <f t="shared" si="3"/>
        <v>11.176</v>
      </c>
      <c r="D6" s="4">
        <f t="shared" si="0"/>
        <v>8.0467200000000005</v>
      </c>
      <c r="E6" s="4">
        <f t="shared" si="1"/>
        <v>9.8348800000000001</v>
      </c>
      <c r="K6" s="4"/>
      <c r="L6" s="4"/>
    </row>
    <row r="7" spans="1:15" ht="15" customHeight="1" x14ac:dyDescent="0.25">
      <c r="A7" s="5">
        <f t="shared" si="4"/>
        <v>30</v>
      </c>
      <c r="B7" s="4">
        <f t="shared" si="2"/>
        <v>48.280200000000001</v>
      </c>
      <c r="C7" s="4">
        <f t="shared" si="3"/>
        <v>13.411199999999999</v>
      </c>
      <c r="D7" s="4">
        <f t="shared" si="0"/>
        <v>9.6560639999999989</v>
      </c>
      <c r="E7" s="4">
        <f t="shared" si="1"/>
        <v>11.801855999999999</v>
      </c>
      <c r="K7" s="4"/>
      <c r="L7" s="4"/>
    </row>
    <row r="8" spans="1:15" x14ac:dyDescent="0.25">
      <c r="A8" s="5">
        <f t="shared" si="4"/>
        <v>35</v>
      </c>
      <c r="B8" s="4">
        <f t="shared" si="2"/>
        <v>56.326900000000002</v>
      </c>
      <c r="C8" s="4">
        <f t="shared" si="3"/>
        <v>15.6464</v>
      </c>
      <c r="D8" s="4">
        <f t="shared" si="0"/>
        <v>11.265407999999999</v>
      </c>
      <c r="E8" s="4">
        <f t="shared" si="1"/>
        <v>13.768832</v>
      </c>
      <c r="K8" s="4"/>
      <c r="L8" s="4"/>
    </row>
    <row r="9" spans="1:15" ht="30" x14ac:dyDescent="0.25">
      <c r="A9" s="5">
        <f t="shared" si="4"/>
        <v>40</v>
      </c>
      <c r="B9" s="4">
        <f t="shared" si="2"/>
        <v>64.373599999999996</v>
      </c>
      <c r="C9" s="4">
        <f t="shared" si="3"/>
        <v>17.881599999999999</v>
      </c>
      <c r="D9" s="4">
        <f t="shared" si="0"/>
        <v>12.874751999999999</v>
      </c>
      <c r="E9" s="4">
        <f t="shared" si="1"/>
        <v>15.735807999999999</v>
      </c>
      <c r="G9" s="7" t="s">
        <v>6</v>
      </c>
      <c r="H9" s="8" t="s">
        <v>2</v>
      </c>
      <c r="I9" s="9" t="s">
        <v>1</v>
      </c>
      <c r="J9" s="9" t="s">
        <v>0</v>
      </c>
      <c r="K9" s="9" t="s">
        <v>16</v>
      </c>
      <c r="L9" s="9" t="s">
        <v>17</v>
      </c>
      <c r="M9" s="9" t="s">
        <v>18</v>
      </c>
      <c r="N9" s="9" t="s">
        <v>3</v>
      </c>
      <c r="O9" s="9" t="s">
        <v>19</v>
      </c>
    </row>
    <row r="10" spans="1:15" x14ac:dyDescent="0.25">
      <c r="A10" s="5">
        <f t="shared" si="4"/>
        <v>45</v>
      </c>
      <c r="B10" s="4">
        <f t="shared" si="2"/>
        <v>72.420299999999997</v>
      </c>
      <c r="C10" s="4">
        <f t="shared" si="3"/>
        <v>20.116800000000001</v>
      </c>
      <c r="D10" s="4">
        <f>C10*0.72</f>
        <v>14.484096000000001</v>
      </c>
      <c r="E10" s="4">
        <f>C10*0.88</f>
        <v>17.702784000000001</v>
      </c>
      <c r="G10" s="10" t="s">
        <v>7</v>
      </c>
      <c r="H10" s="11">
        <v>25</v>
      </c>
      <c r="I10" s="12">
        <f t="shared" ref="I10:I14" si="5">H10*1.60934</f>
        <v>40.233499999999999</v>
      </c>
      <c r="J10" s="12">
        <f>H10*0.44704</f>
        <v>11.176</v>
      </c>
      <c r="K10" s="11">
        <v>3</v>
      </c>
      <c r="L10" s="12">
        <v>-1000</v>
      </c>
      <c r="M10" s="12">
        <f>J10*0.72</f>
        <v>8.0467200000000005</v>
      </c>
      <c r="N10" s="11">
        <f>J10*0.88</f>
        <v>9.8348800000000001</v>
      </c>
      <c r="O10" s="11">
        <f>J10</f>
        <v>11.176</v>
      </c>
    </row>
    <row r="11" spans="1:15" x14ac:dyDescent="0.25">
      <c r="A11" s="5">
        <f t="shared" si="4"/>
        <v>50</v>
      </c>
      <c r="B11" s="4">
        <f t="shared" si="2"/>
        <v>80.466999999999999</v>
      </c>
      <c r="C11" s="4">
        <f t="shared" si="3"/>
        <v>22.352</v>
      </c>
      <c r="D11" s="4">
        <f t="shared" ref="D11:D41" si="6">C11*0.72</f>
        <v>16.093440000000001</v>
      </c>
      <c r="E11" s="4">
        <f t="shared" ref="E11:E41" si="7">C11*0.88</f>
        <v>19.66976</v>
      </c>
      <c r="G11" s="10" t="s">
        <v>8</v>
      </c>
      <c r="H11" s="11">
        <v>50</v>
      </c>
      <c r="I11" s="12">
        <f t="shared" si="5"/>
        <v>80.466999999999999</v>
      </c>
      <c r="J11" s="12">
        <f t="shared" ref="J11:J14" si="8">H11*0.44704</f>
        <v>22.352</v>
      </c>
      <c r="K11" s="11">
        <v>2</v>
      </c>
      <c r="L11" s="12">
        <f>M10*0.8</f>
        <v>6.4373760000000004</v>
      </c>
      <c r="M11" s="12">
        <f t="shared" ref="M11:M13" si="9">J11*0.72</f>
        <v>16.093440000000001</v>
      </c>
      <c r="N11" s="11">
        <f t="shared" ref="N11:N14" si="10">J11*0.88</f>
        <v>19.66976</v>
      </c>
      <c r="O11" s="11">
        <f t="shared" ref="O11:O14" si="11">J11</f>
        <v>22.352</v>
      </c>
    </row>
    <row r="12" spans="1:15" x14ac:dyDescent="0.25">
      <c r="A12" s="5">
        <f t="shared" si="4"/>
        <v>55</v>
      </c>
      <c r="B12" s="4">
        <f t="shared" si="2"/>
        <v>88.5137</v>
      </c>
      <c r="C12" s="4">
        <f t="shared" si="3"/>
        <v>24.587199999999999</v>
      </c>
      <c r="D12" s="4">
        <f t="shared" si="6"/>
        <v>17.702783999999998</v>
      </c>
      <c r="E12" s="4">
        <f t="shared" si="7"/>
        <v>21.636735999999999</v>
      </c>
      <c r="G12" s="10" t="s">
        <v>9</v>
      </c>
      <c r="H12" s="11">
        <v>80</v>
      </c>
      <c r="I12" s="12">
        <f t="shared" si="5"/>
        <v>128.74719999999999</v>
      </c>
      <c r="J12" s="12">
        <f t="shared" si="8"/>
        <v>35.763199999999998</v>
      </c>
      <c r="K12" s="11">
        <v>1</v>
      </c>
      <c r="L12" s="12">
        <f t="shared" ref="L12:L14" si="12">M11*0.8</f>
        <v>12.874752000000001</v>
      </c>
      <c r="M12" s="12">
        <f t="shared" si="9"/>
        <v>25.749503999999998</v>
      </c>
      <c r="N12" s="11">
        <f t="shared" si="10"/>
        <v>31.471615999999997</v>
      </c>
      <c r="O12" s="11">
        <f t="shared" si="11"/>
        <v>35.763199999999998</v>
      </c>
    </row>
    <row r="13" spans="1:15" x14ac:dyDescent="0.25">
      <c r="A13" s="5">
        <f t="shared" si="4"/>
        <v>60</v>
      </c>
      <c r="B13" s="4">
        <f t="shared" si="2"/>
        <v>96.560400000000001</v>
      </c>
      <c r="C13" s="4">
        <f t="shared" si="3"/>
        <v>26.822399999999998</v>
      </c>
      <c r="D13" s="4">
        <f t="shared" si="6"/>
        <v>19.312127999999998</v>
      </c>
      <c r="E13" s="4">
        <f t="shared" si="7"/>
        <v>23.603711999999998</v>
      </c>
      <c r="G13" s="10" t="s">
        <v>10</v>
      </c>
      <c r="H13" s="11">
        <v>120</v>
      </c>
      <c r="I13" s="12">
        <f t="shared" si="5"/>
        <v>193.1208</v>
      </c>
      <c r="J13" s="12">
        <f t="shared" si="8"/>
        <v>53.644799999999996</v>
      </c>
      <c r="K13" s="11">
        <v>0.8</v>
      </c>
      <c r="L13" s="12">
        <f t="shared" si="12"/>
        <v>20.599603200000001</v>
      </c>
      <c r="M13" s="12">
        <f t="shared" si="9"/>
        <v>38.624255999999995</v>
      </c>
      <c r="N13" s="11">
        <f t="shared" si="10"/>
        <v>47.207423999999996</v>
      </c>
      <c r="O13" s="11">
        <f t="shared" si="11"/>
        <v>53.644799999999996</v>
      </c>
    </row>
    <row r="14" spans="1:15" x14ac:dyDescent="0.25">
      <c r="A14" s="5">
        <f t="shared" si="4"/>
        <v>65</v>
      </c>
      <c r="B14" s="4">
        <f t="shared" si="2"/>
        <v>104.6071</v>
      </c>
      <c r="C14" s="4">
        <f t="shared" si="3"/>
        <v>29.057600000000001</v>
      </c>
      <c r="D14" s="4">
        <f t="shared" si="6"/>
        <v>20.921472000000001</v>
      </c>
      <c r="E14" s="4">
        <f t="shared" si="7"/>
        <v>25.570688000000001</v>
      </c>
      <c r="G14" s="10" t="s">
        <v>11</v>
      </c>
      <c r="H14" s="11">
        <v>200</v>
      </c>
      <c r="I14" s="12">
        <f t="shared" si="5"/>
        <v>321.86799999999999</v>
      </c>
      <c r="J14" s="12">
        <f t="shared" si="8"/>
        <v>89.408000000000001</v>
      </c>
      <c r="K14" s="11">
        <v>0.6</v>
      </c>
      <c r="L14" s="12">
        <f t="shared" si="12"/>
        <v>30.899404799999999</v>
      </c>
      <c r="M14" s="12">
        <v>10000</v>
      </c>
      <c r="N14" s="11">
        <f t="shared" si="10"/>
        <v>78.679040000000001</v>
      </c>
      <c r="O14" s="11">
        <f t="shared" si="11"/>
        <v>89.408000000000001</v>
      </c>
    </row>
    <row r="15" spans="1:15" x14ac:dyDescent="0.25">
      <c r="A15" s="5">
        <f t="shared" si="4"/>
        <v>70</v>
      </c>
      <c r="B15" s="4">
        <f t="shared" si="2"/>
        <v>112.6538</v>
      </c>
      <c r="C15" s="4">
        <f t="shared" si="3"/>
        <v>31.2928</v>
      </c>
      <c r="D15" s="4">
        <f t="shared" si="6"/>
        <v>22.530815999999998</v>
      </c>
      <c r="E15" s="4">
        <f t="shared" si="7"/>
        <v>27.537663999999999</v>
      </c>
      <c r="K15" s="4"/>
      <c r="L15" s="4"/>
    </row>
    <row r="16" spans="1:15" x14ac:dyDescent="0.25">
      <c r="A16" s="5">
        <f t="shared" si="4"/>
        <v>75</v>
      </c>
      <c r="B16" s="4">
        <f t="shared" si="2"/>
        <v>120.70050000000001</v>
      </c>
      <c r="C16" s="4">
        <f t="shared" si="3"/>
        <v>33.527999999999999</v>
      </c>
      <c r="D16" s="4">
        <f t="shared" si="6"/>
        <v>24.140159999999998</v>
      </c>
      <c r="E16" s="4">
        <f t="shared" si="7"/>
        <v>29.504639999999998</v>
      </c>
      <c r="K16" s="4"/>
      <c r="L16" s="4"/>
    </row>
    <row r="17" spans="1:12" x14ac:dyDescent="0.25">
      <c r="A17" s="5">
        <f t="shared" si="4"/>
        <v>80</v>
      </c>
      <c r="B17" s="4">
        <f t="shared" si="2"/>
        <v>128.74719999999999</v>
      </c>
      <c r="C17" s="4">
        <f t="shared" si="3"/>
        <v>35.763199999999998</v>
      </c>
      <c r="D17" s="4">
        <f t="shared" si="6"/>
        <v>25.749503999999998</v>
      </c>
      <c r="E17" s="4">
        <f t="shared" si="7"/>
        <v>31.471615999999997</v>
      </c>
      <c r="K17" s="4"/>
      <c r="L17" s="4"/>
    </row>
    <row r="18" spans="1:12" x14ac:dyDescent="0.25">
      <c r="A18" s="5">
        <f t="shared" si="4"/>
        <v>85</v>
      </c>
      <c r="B18" s="4">
        <f t="shared" si="2"/>
        <v>136.79390000000001</v>
      </c>
      <c r="C18" s="4">
        <f t="shared" si="3"/>
        <v>37.998399999999997</v>
      </c>
      <c r="D18" s="4">
        <f t="shared" si="6"/>
        <v>27.358847999999998</v>
      </c>
      <c r="E18" s="4">
        <f t="shared" si="7"/>
        <v>33.438592</v>
      </c>
      <c r="G18" s="3" t="s">
        <v>20</v>
      </c>
      <c r="H18" s="13"/>
      <c r="I18" s="13"/>
      <c r="J18" s="13"/>
      <c r="K18" s="4"/>
      <c r="L18" s="4"/>
    </row>
    <row r="19" spans="1:12" x14ac:dyDescent="0.25">
      <c r="A19" s="5">
        <f t="shared" si="4"/>
        <v>90</v>
      </c>
      <c r="B19" s="4">
        <f t="shared" si="2"/>
        <v>144.84059999999999</v>
      </c>
      <c r="C19" s="4">
        <f t="shared" si="3"/>
        <v>40.233600000000003</v>
      </c>
      <c r="D19" s="4">
        <f t="shared" si="6"/>
        <v>28.968192000000002</v>
      </c>
      <c r="E19" s="4">
        <f t="shared" si="7"/>
        <v>35.405568000000002</v>
      </c>
      <c r="G19" s="3"/>
      <c r="H19" s="13" t="s">
        <v>21</v>
      </c>
      <c r="I19" s="13">
        <v>0</v>
      </c>
      <c r="J19" s="13" t="s">
        <v>23</v>
      </c>
      <c r="K19" s="4"/>
      <c r="L19" s="4"/>
    </row>
    <row r="20" spans="1:12" x14ac:dyDescent="0.25">
      <c r="A20" s="5">
        <f t="shared" si="4"/>
        <v>95</v>
      </c>
      <c r="B20" s="4">
        <f t="shared" si="2"/>
        <v>152.88730000000001</v>
      </c>
      <c r="C20" s="4">
        <f t="shared" si="3"/>
        <v>42.468800000000002</v>
      </c>
      <c r="D20" s="4">
        <f t="shared" si="6"/>
        <v>30.577535999999998</v>
      </c>
      <c r="E20" s="4">
        <f t="shared" si="7"/>
        <v>37.372544000000005</v>
      </c>
      <c r="G20" s="3" t="s">
        <v>21</v>
      </c>
      <c r="H20" s="13"/>
      <c r="I20" s="13"/>
      <c r="J20" s="13"/>
      <c r="K20" s="4"/>
      <c r="L20" s="4"/>
    </row>
    <row r="21" spans="1:12" x14ac:dyDescent="0.25">
      <c r="A21" s="5">
        <f t="shared" si="4"/>
        <v>100</v>
      </c>
      <c r="B21" s="4">
        <f t="shared" si="2"/>
        <v>160.934</v>
      </c>
      <c r="C21" s="4">
        <f t="shared" si="3"/>
        <v>44.704000000000001</v>
      </c>
      <c r="D21" s="4">
        <f t="shared" si="6"/>
        <v>32.186880000000002</v>
      </c>
      <c r="E21" s="4">
        <f t="shared" si="7"/>
        <v>39.33952</v>
      </c>
      <c r="G21" s="3" t="s">
        <v>22</v>
      </c>
      <c r="H21" s="13"/>
      <c r="I21" s="13"/>
      <c r="J21" s="13"/>
      <c r="K21" s="4"/>
      <c r="L21" s="4"/>
    </row>
    <row r="22" spans="1:12" x14ac:dyDescent="0.25">
      <c r="A22" s="5">
        <f t="shared" si="4"/>
        <v>105</v>
      </c>
      <c r="B22" s="4">
        <f t="shared" si="2"/>
        <v>168.98070000000001</v>
      </c>
      <c r="C22" s="4">
        <f t="shared" si="3"/>
        <v>46.9392</v>
      </c>
      <c r="D22" s="4">
        <f t="shared" si="6"/>
        <v>33.796223999999995</v>
      </c>
      <c r="E22" s="4">
        <f t="shared" si="7"/>
        <v>41.306496000000003</v>
      </c>
      <c r="G22" s="3" t="s">
        <v>23</v>
      </c>
      <c r="H22" s="13"/>
      <c r="I22" s="13"/>
      <c r="J22" s="13"/>
      <c r="K22" s="4"/>
      <c r="L22" s="4"/>
    </row>
    <row r="23" spans="1:12" x14ac:dyDescent="0.25">
      <c r="A23" s="5">
        <f t="shared" si="4"/>
        <v>110</v>
      </c>
      <c r="B23" s="4">
        <f t="shared" si="2"/>
        <v>177.0274</v>
      </c>
      <c r="C23" s="4">
        <f t="shared" si="3"/>
        <v>49.174399999999999</v>
      </c>
      <c r="D23" s="4">
        <f t="shared" si="6"/>
        <v>35.405567999999995</v>
      </c>
      <c r="E23" s="4">
        <f t="shared" si="7"/>
        <v>43.273471999999998</v>
      </c>
      <c r="K23" s="4"/>
      <c r="L23" s="4"/>
    </row>
    <row r="24" spans="1:12" x14ac:dyDescent="0.25">
      <c r="A24" s="5">
        <f t="shared" si="4"/>
        <v>115</v>
      </c>
      <c r="B24" s="4">
        <f t="shared" si="2"/>
        <v>185.07409999999999</v>
      </c>
      <c r="C24" s="4">
        <f t="shared" si="3"/>
        <v>51.409599999999998</v>
      </c>
      <c r="D24" s="4">
        <f t="shared" si="6"/>
        <v>37.014911999999995</v>
      </c>
      <c r="E24" s="4">
        <f t="shared" si="7"/>
        <v>45.240448000000001</v>
      </c>
    </row>
    <row r="25" spans="1:12" x14ac:dyDescent="0.25">
      <c r="A25" s="5">
        <f t="shared" si="4"/>
        <v>120</v>
      </c>
      <c r="B25" s="4">
        <f t="shared" si="2"/>
        <v>193.1208</v>
      </c>
      <c r="C25" s="4">
        <f t="shared" si="3"/>
        <v>53.644799999999996</v>
      </c>
      <c r="D25" s="4">
        <f t="shared" si="6"/>
        <v>38.624255999999995</v>
      </c>
      <c r="E25" s="4">
        <f t="shared" si="7"/>
        <v>47.207423999999996</v>
      </c>
    </row>
    <row r="26" spans="1:12" x14ac:dyDescent="0.25">
      <c r="A26" s="5">
        <f t="shared" si="4"/>
        <v>125</v>
      </c>
      <c r="B26" s="4">
        <f t="shared" si="2"/>
        <v>201.16749999999999</v>
      </c>
      <c r="C26" s="4">
        <f t="shared" si="3"/>
        <v>55.88</v>
      </c>
      <c r="D26" s="4">
        <f t="shared" si="6"/>
        <v>40.233600000000003</v>
      </c>
      <c r="E26" s="4">
        <f t="shared" si="7"/>
        <v>49.174400000000006</v>
      </c>
    </row>
    <row r="27" spans="1:12" x14ac:dyDescent="0.25">
      <c r="A27" s="5">
        <f t="shared" si="4"/>
        <v>130</v>
      </c>
      <c r="B27" s="4">
        <f t="shared" si="2"/>
        <v>209.21420000000001</v>
      </c>
      <c r="C27" s="4">
        <f t="shared" si="3"/>
        <v>58.115200000000002</v>
      </c>
      <c r="D27" s="4">
        <f t="shared" si="6"/>
        <v>41.842944000000003</v>
      </c>
      <c r="E27" s="4">
        <f t="shared" si="7"/>
        <v>51.141376000000001</v>
      </c>
    </row>
    <row r="28" spans="1:12" x14ac:dyDescent="0.25">
      <c r="A28" s="5">
        <f t="shared" si="4"/>
        <v>135</v>
      </c>
      <c r="B28" s="4">
        <f t="shared" si="2"/>
        <v>217.26089999999999</v>
      </c>
      <c r="C28" s="4">
        <f t="shared" si="3"/>
        <v>60.3504</v>
      </c>
      <c r="D28" s="4">
        <f t="shared" si="6"/>
        <v>43.452287999999996</v>
      </c>
      <c r="E28" s="4">
        <f t="shared" si="7"/>
        <v>53.108352000000004</v>
      </c>
    </row>
    <row r="29" spans="1:12" x14ac:dyDescent="0.25">
      <c r="A29" s="5">
        <f t="shared" si="4"/>
        <v>140</v>
      </c>
      <c r="B29" s="4">
        <f t="shared" si="2"/>
        <v>225.30760000000001</v>
      </c>
      <c r="C29" s="4">
        <f t="shared" si="3"/>
        <v>62.585599999999999</v>
      </c>
      <c r="D29" s="4">
        <f t="shared" si="6"/>
        <v>45.061631999999996</v>
      </c>
      <c r="E29" s="4">
        <f t="shared" si="7"/>
        <v>55.075327999999999</v>
      </c>
    </row>
    <row r="30" spans="1:12" x14ac:dyDescent="0.25">
      <c r="A30" s="5">
        <f t="shared" si="4"/>
        <v>145</v>
      </c>
      <c r="B30" s="4">
        <f t="shared" si="2"/>
        <v>233.35429999999999</v>
      </c>
      <c r="C30" s="4">
        <f t="shared" si="3"/>
        <v>64.820800000000006</v>
      </c>
      <c r="D30" s="4">
        <f t="shared" si="6"/>
        <v>46.670976000000003</v>
      </c>
      <c r="E30" s="4">
        <f t="shared" si="7"/>
        <v>57.042304000000009</v>
      </c>
    </row>
    <row r="31" spans="1:12" x14ac:dyDescent="0.25">
      <c r="A31" s="5">
        <f t="shared" si="4"/>
        <v>150</v>
      </c>
      <c r="B31" s="4">
        <f t="shared" si="2"/>
        <v>241.40100000000001</v>
      </c>
      <c r="C31" s="4">
        <f t="shared" si="3"/>
        <v>67.055999999999997</v>
      </c>
      <c r="D31" s="4">
        <f t="shared" si="6"/>
        <v>48.280319999999996</v>
      </c>
      <c r="E31" s="4">
        <f t="shared" si="7"/>
        <v>59.009279999999997</v>
      </c>
    </row>
    <row r="32" spans="1:12" x14ac:dyDescent="0.25">
      <c r="A32" s="5">
        <f t="shared" si="4"/>
        <v>155</v>
      </c>
      <c r="B32" s="4">
        <f t="shared" si="2"/>
        <v>249.4477</v>
      </c>
      <c r="C32" s="4">
        <f t="shared" si="3"/>
        <v>69.291200000000003</v>
      </c>
      <c r="D32" s="4">
        <f t="shared" si="6"/>
        <v>49.889664000000003</v>
      </c>
      <c r="E32" s="4">
        <f t="shared" si="7"/>
        <v>60.976256000000006</v>
      </c>
    </row>
    <row r="33" spans="1:5" x14ac:dyDescent="0.25">
      <c r="A33" s="5">
        <f t="shared" si="4"/>
        <v>160</v>
      </c>
      <c r="B33" s="4">
        <f t="shared" si="2"/>
        <v>257.49439999999998</v>
      </c>
      <c r="C33" s="4">
        <f t="shared" si="3"/>
        <v>71.526399999999995</v>
      </c>
      <c r="D33" s="4">
        <f t="shared" si="6"/>
        <v>51.499007999999996</v>
      </c>
      <c r="E33" s="4">
        <f t="shared" si="7"/>
        <v>62.943231999999995</v>
      </c>
    </row>
    <row r="34" spans="1:5" x14ac:dyDescent="0.25">
      <c r="A34" s="5">
        <f t="shared" si="4"/>
        <v>165</v>
      </c>
      <c r="B34" s="4">
        <f t="shared" si="2"/>
        <v>265.54109999999997</v>
      </c>
      <c r="C34" s="4">
        <f t="shared" si="3"/>
        <v>73.761600000000001</v>
      </c>
      <c r="D34" s="4">
        <f t="shared" si="6"/>
        <v>53.108351999999996</v>
      </c>
      <c r="E34" s="4">
        <f t="shared" si="7"/>
        <v>64.910207999999997</v>
      </c>
    </row>
    <row r="35" spans="1:5" x14ac:dyDescent="0.25">
      <c r="A35" s="5">
        <f t="shared" si="4"/>
        <v>170</v>
      </c>
      <c r="B35" s="4">
        <f t="shared" si="2"/>
        <v>273.58780000000002</v>
      </c>
      <c r="C35" s="4">
        <f t="shared" si="3"/>
        <v>75.996799999999993</v>
      </c>
      <c r="D35" s="4">
        <f t="shared" si="6"/>
        <v>54.717695999999997</v>
      </c>
      <c r="E35" s="4">
        <f t="shared" si="7"/>
        <v>66.877184</v>
      </c>
    </row>
    <row r="36" spans="1:5" x14ac:dyDescent="0.25">
      <c r="A36" s="5">
        <f t="shared" si="4"/>
        <v>175</v>
      </c>
      <c r="B36" s="4">
        <f t="shared" si="2"/>
        <v>281.6345</v>
      </c>
      <c r="C36" s="4">
        <f t="shared" si="3"/>
        <v>78.231999999999999</v>
      </c>
      <c r="D36" s="4">
        <f t="shared" si="6"/>
        <v>56.327039999999997</v>
      </c>
      <c r="E36" s="4">
        <f t="shared" si="7"/>
        <v>68.844160000000002</v>
      </c>
    </row>
    <row r="37" spans="1:5" x14ac:dyDescent="0.25">
      <c r="A37" s="5">
        <f t="shared" si="4"/>
        <v>180</v>
      </c>
      <c r="B37" s="4">
        <f t="shared" si="2"/>
        <v>289.68119999999999</v>
      </c>
      <c r="C37" s="4">
        <f t="shared" si="3"/>
        <v>80.467200000000005</v>
      </c>
      <c r="D37" s="4">
        <f t="shared" si="6"/>
        <v>57.936384000000004</v>
      </c>
      <c r="E37" s="4">
        <f t="shared" si="7"/>
        <v>70.811136000000005</v>
      </c>
    </row>
    <row r="38" spans="1:5" x14ac:dyDescent="0.25">
      <c r="A38" s="5">
        <f t="shared" si="4"/>
        <v>185</v>
      </c>
      <c r="B38" s="4">
        <f t="shared" si="2"/>
        <v>297.72789999999998</v>
      </c>
      <c r="C38" s="4">
        <f t="shared" si="3"/>
        <v>82.702399999999997</v>
      </c>
      <c r="D38" s="4">
        <f t="shared" si="6"/>
        <v>59.545727999999997</v>
      </c>
      <c r="E38" s="4">
        <f t="shared" si="7"/>
        <v>72.778111999999993</v>
      </c>
    </row>
    <row r="39" spans="1:5" x14ac:dyDescent="0.25">
      <c r="A39" s="5">
        <f t="shared" si="4"/>
        <v>190</v>
      </c>
      <c r="B39" s="4">
        <f t="shared" si="2"/>
        <v>305.77460000000002</v>
      </c>
      <c r="C39" s="4">
        <f t="shared" si="3"/>
        <v>84.937600000000003</v>
      </c>
      <c r="D39" s="4">
        <f t="shared" si="6"/>
        <v>61.155071999999997</v>
      </c>
      <c r="E39" s="4">
        <f t="shared" si="7"/>
        <v>74.74508800000001</v>
      </c>
    </row>
    <row r="40" spans="1:5" x14ac:dyDescent="0.25">
      <c r="A40" s="5">
        <f t="shared" si="4"/>
        <v>195</v>
      </c>
      <c r="B40" s="4">
        <f t="shared" si="2"/>
        <v>313.82130000000001</v>
      </c>
      <c r="C40" s="4">
        <f t="shared" si="3"/>
        <v>87.172799999999995</v>
      </c>
      <c r="D40" s="4">
        <f t="shared" si="6"/>
        <v>62.764415999999997</v>
      </c>
      <c r="E40" s="4">
        <f t="shared" si="7"/>
        <v>76.712063999999998</v>
      </c>
    </row>
    <row r="41" spans="1:5" x14ac:dyDescent="0.25">
      <c r="A41" s="5">
        <f t="shared" si="4"/>
        <v>200</v>
      </c>
      <c r="B41" s="4">
        <f t="shared" si="2"/>
        <v>321.86799999999999</v>
      </c>
      <c r="C41" s="4">
        <f t="shared" si="3"/>
        <v>89.408000000000001</v>
      </c>
      <c r="D41" s="4">
        <f t="shared" si="6"/>
        <v>64.373760000000004</v>
      </c>
      <c r="E41" s="4">
        <f t="shared" si="7"/>
        <v>78.679040000000001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Killman</dc:creator>
  <cp:lastModifiedBy>Paul Killman</cp:lastModifiedBy>
  <cp:lastPrinted>2026-04-11T14:36:37Z</cp:lastPrinted>
  <dcterms:created xsi:type="dcterms:W3CDTF">2026-04-01T12:59:38Z</dcterms:created>
  <dcterms:modified xsi:type="dcterms:W3CDTF">2026-04-11T17:34:25Z</dcterms:modified>
</cp:coreProperties>
</file>